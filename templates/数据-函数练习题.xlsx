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  <sheet xmlns:r="http://schemas.openxmlformats.org/officeDocument/2006/relationships" name="销售表" sheetId="2" state="visible" r:id="rId2"/>
    <sheet xmlns:r="http://schemas.openxmlformats.org/officeDocument/2006/relationships" name="练习题" sheetId="3" state="visible" r:id="rId3"/>
    <sheet xmlns:r="http://schemas.openxmlformats.org/officeDocument/2006/relationships" name="参考答案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  <c r="F1" s="1" t="inlineStr">
        <is>
          <t>月薪</t>
        </is>
      </c>
    </row>
    <row r="2">
      <c r="A2" s="2" t="inlineStr">
        <is>
          <t>E001</t>
        </is>
      </c>
      <c r="B2" s="2" t="inlineStr">
        <is>
          <t>李明</t>
        </is>
      </c>
      <c r="C2" s="2" t="inlineStr">
        <is>
          <t>销售部</t>
        </is>
      </c>
      <c r="D2" s="2" t="inlineStr">
        <is>
          <t>销售经理</t>
        </is>
      </c>
      <c r="E2" s="2" t="inlineStr">
        <is>
          <t>2020-03-15</t>
        </is>
      </c>
      <c r="F2" s="2" t="n">
        <v>12000</v>
      </c>
    </row>
    <row r="3">
      <c r="A3" s="2" t="inlineStr">
        <is>
          <t>E002</t>
        </is>
      </c>
      <c r="B3" s="2" t="inlineStr">
        <is>
          <t>王芳</t>
        </is>
      </c>
      <c r="C3" s="2" t="inlineStr">
        <is>
          <t>技术部</t>
        </is>
      </c>
      <c r="D3" s="2" t="inlineStr">
        <is>
          <t>工程师</t>
        </is>
      </c>
      <c r="E3" s="2" t="inlineStr">
        <is>
          <t>2019-07-01</t>
        </is>
      </c>
      <c r="F3" s="2" t="n">
        <v>15000</v>
      </c>
    </row>
    <row r="4">
      <c r="A4" s="2" t="inlineStr">
        <is>
          <t>E003</t>
        </is>
      </c>
      <c r="B4" s="2" t="inlineStr">
        <is>
          <t>赵强</t>
        </is>
      </c>
      <c r="C4" s="2" t="inlineStr">
        <is>
          <t>销售部</t>
        </is>
      </c>
      <c r="D4" s="2" t="inlineStr">
        <is>
          <t>销售员</t>
        </is>
      </c>
      <c r="E4" s="2" t="inlineStr">
        <is>
          <t>2021-11-20</t>
        </is>
      </c>
      <c r="F4" s="2" t="n">
        <v>9000</v>
      </c>
    </row>
    <row r="5">
      <c r="A5" s="2" t="inlineStr">
        <is>
          <t>E004</t>
        </is>
      </c>
      <c r="B5" s="2" t="inlineStr">
        <is>
          <t>刘洋</t>
        </is>
      </c>
      <c r="C5" s="2" t="inlineStr">
        <is>
          <t>财务部</t>
        </is>
      </c>
      <c r="D5" s="2" t="inlineStr">
        <is>
          <t>会计</t>
        </is>
      </c>
      <c r="E5" s="2" t="inlineStr">
        <is>
          <t>2018-05-10</t>
        </is>
      </c>
      <c r="F5" s="2" t="n">
        <v>11000</v>
      </c>
    </row>
    <row r="6">
      <c r="A6" s="2" t="inlineStr">
        <is>
          <t>E005</t>
        </is>
      </c>
      <c r="B6" s="2" t="inlineStr">
        <is>
          <t>陈静</t>
        </is>
      </c>
      <c r="C6" s="2" t="inlineStr">
        <is>
          <t>市场部</t>
        </is>
      </c>
      <c r="D6" s="2" t="inlineStr">
        <is>
          <t>专员</t>
        </is>
      </c>
      <c r="E6" s="2" t="inlineStr">
        <is>
          <t>2022-02-14</t>
        </is>
      </c>
      <c r="F6" s="2" t="n">
        <v>8500</v>
      </c>
    </row>
    <row r="7">
      <c r="A7" s="2" t="inlineStr">
        <is>
          <t>E006</t>
        </is>
      </c>
      <c r="B7" s="2" t="inlineStr">
        <is>
          <t>黄伟</t>
        </is>
      </c>
      <c r="C7" s="2" t="inlineStr">
        <is>
          <t>技术部</t>
        </is>
      </c>
      <c r="D7" s="2" t="inlineStr">
        <is>
          <t>架构师</t>
        </is>
      </c>
      <c r="E7" s="2" t="inlineStr">
        <is>
          <t>2017-09-25</t>
        </is>
      </c>
      <c r="F7" s="2" t="n">
        <v>18000</v>
      </c>
    </row>
    <row r="8">
      <c r="A8" s="2" t="inlineStr">
        <is>
          <t>E007</t>
        </is>
      </c>
      <c r="B8" s="2" t="inlineStr">
        <is>
          <t>周敏</t>
        </is>
      </c>
      <c r="C8" s="2" t="inlineStr">
        <is>
          <t>人事部</t>
        </is>
      </c>
      <c r="D8" s="2" t="inlineStr">
        <is>
          <t>HR</t>
        </is>
      </c>
      <c r="E8" s="2" t="inlineStr">
        <is>
          <t>2021-06-30</t>
        </is>
      </c>
      <c r="F8" s="2" t="n">
        <v>9500</v>
      </c>
    </row>
    <row r="9">
      <c r="A9" s="2" t="inlineStr">
        <is>
          <t>E008</t>
        </is>
      </c>
      <c r="B9" s="2" t="inlineStr">
        <is>
          <t>吴磊</t>
        </is>
      </c>
      <c r="C9" s="2" t="inlineStr">
        <is>
          <t>销售部</t>
        </is>
      </c>
      <c r="D9" s="2" t="inlineStr">
        <is>
          <t>销售员</t>
        </is>
      </c>
      <c r="E9" s="2" t="inlineStr">
        <is>
          <t>2023-01-05</t>
        </is>
      </c>
      <c r="F9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订单号</t>
        </is>
      </c>
      <c r="B1" s="1" t="inlineStr">
        <is>
          <t>销售员工号</t>
        </is>
      </c>
      <c r="C1" s="1" t="inlineStr">
        <is>
          <t>日期</t>
        </is>
      </c>
      <c r="D1" s="1" t="inlineStr">
        <is>
          <t>区域</t>
        </is>
      </c>
      <c r="E1" s="1" t="inlineStr">
        <is>
          <t>产品类别</t>
        </is>
      </c>
      <c r="F1" s="1" t="inlineStr">
        <is>
          <t>金额</t>
        </is>
      </c>
    </row>
    <row r="2">
      <c r="A2" s="2" t="inlineStr">
        <is>
          <t>SO001</t>
        </is>
      </c>
      <c r="B2" s="2" t="inlineStr">
        <is>
          <t>E001</t>
        </is>
      </c>
      <c r="C2" s="2" t="inlineStr">
        <is>
          <t>2026-03-05</t>
        </is>
      </c>
      <c r="D2" s="2" t="inlineStr">
        <is>
          <t>华东</t>
        </is>
      </c>
      <c r="E2" s="2" t="inlineStr">
        <is>
          <t>电脑</t>
        </is>
      </c>
      <c r="F2" s="2" t="n">
        <v>15000</v>
      </c>
    </row>
    <row r="3">
      <c r="A3" s="2" t="inlineStr">
        <is>
          <t>SO002</t>
        </is>
      </c>
      <c r="B3" s="2" t="inlineStr">
        <is>
          <t>E003</t>
        </is>
      </c>
      <c r="C3" s="2" t="inlineStr">
        <is>
          <t>2026-03-12</t>
        </is>
      </c>
      <c r="D3" s="2" t="inlineStr">
        <is>
          <t>华东</t>
        </is>
      </c>
      <c r="E3" s="2" t="inlineStr">
        <is>
          <t>手机</t>
        </is>
      </c>
      <c r="F3" s="2" t="n">
        <v>8000</v>
      </c>
    </row>
    <row r="4">
      <c r="A4" s="2" t="inlineStr">
        <is>
          <t>SO003</t>
        </is>
      </c>
      <c r="B4" s="2" t="inlineStr">
        <is>
          <t>E001</t>
        </is>
      </c>
      <c r="C4" s="2" t="inlineStr">
        <is>
          <t>2026-04-02</t>
        </is>
      </c>
      <c r="D4" s="2" t="inlineStr">
        <is>
          <t>华南</t>
        </is>
      </c>
      <c r="E4" s="2" t="inlineStr">
        <is>
          <t>配件</t>
        </is>
      </c>
      <c r="F4" s="2" t="n">
        <v>2300</v>
      </c>
    </row>
    <row r="5">
      <c r="A5" s="2" t="inlineStr">
        <is>
          <t>SO004</t>
        </is>
      </c>
      <c r="B5" s="2" t="inlineStr">
        <is>
          <t>E008</t>
        </is>
      </c>
      <c r="C5" s="2" t="inlineStr">
        <is>
          <t>2026-04-18</t>
        </is>
      </c>
      <c r="D5" s="2" t="inlineStr">
        <is>
          <t>华北</t>
        </is>
      </c>
      <c r="E5" s="2" t="inlineStr">
        <is>
          <t>电脑</t>
        </is>
      </c>
      <c r="F5" s="2" t="n">
        <v>12600</v>
      </c>
    </row>
    <row r="6">
      <c r="A6" s="2" t="inlineStr">
        <is>
          <t>SO005</t>
        </is>
      </c>
      <c r="B6" s="2" t="inlineStr">
        <is>
          <t>E003</t>
        </is>
      </c>
      <c r="C6" s="2" t="inlineStr">
        <is>
          <t>2026-05-09</t>
        </is>
      </c>
      <c r="D6" s="2" t="inlineStr">
        <is>
          <t>华东</t>
        </is>
      </c>
      <c r="E6" s="2" t="inlineStr">
        <is>
          <t>家电</t>
        </is>
      </c>
      <c r="F6" s="2" t="n">
        <v>6400</v>
      </c>
    </row>
    <row r="7">
      <c r="A7" s="2" t="inlineStr">
        <is>
          <t>SO006</t>
        </is>
      </c>
      <c r="B7" s="2" t="inlineStr">
        <is>
          <t>E001</t>
        </is>
      </c>
      <c r="C7" s="2" t="inlineStr">
        <is>
          <t>2026-05-22</t>
        </is>
      </c>
      <c r="D7" s="2" t="inlineStr">
        <is>
          <t>西南</t>
        </is>
      </c>
      <c r="E7" s="2" t="inlineStr">
        <is>
          <t>办公</t>
        </is>
      </c>
      <c r="F7" s="2" t="n">
        <v>4598</v>
      </c>
    </row>
    <row r="8">
      <c r="A8" s="2" t="inlineStr">
        <is>
          <t>SO007</t>
        </is>
      </c>
      <c r="B8" s="2" t="inlineStr">
        <is>
          <t>E008</t>
        </is>
      </c>
      <c r="C8" s="2" t="inlineStr">
        <is>
          <t>2026-06-11</t>
        </is>
      </c>
      <c r="D8" s="2" t="inlineStr">
        <is>
          <t>华东</t>
        </is>
      </c>
      <c r="E8" s="2" t="inlineStr">
        <is>
          <t>手机</t>
        </is>
      </c>
      <c r="F8" s="2" t="n">
        <v>9998</v>
      </c>
    </row>
    <row r="9">
      <c r="A9" s="2" t="inlineStr">
        <is>
          <t>SO008</t>
        </is>
      </c>
      <c r="B9" s="2" t="inlineStr">
        <is>
          <t>E003</t>
        </is>
      </c>
      <c r="C9" s="2" t="inlineStr">
        <is>
          <t>2026-07-03</t>
        </is>
      </c>
      <c r="D9" s="2" t="inlineStr">
        <is>
          <t>华中</t>
        </is>
      </c>
      <c r="E9" s="2" t="inlineStr">
        <is>
          <t>电脑</t>
        </is>
      </c>
      <c r="F9" s="2" t="n">
        <v>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10" customWidth="1" min="3" max="3"/>
    <col width="28" customWidth="1" min="4" max="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分类</t>
        </is>
      </c>
      <c r="D1" s="3" t="inlineStr">
        <is>
          <t>你的答案（在此填写公式）</t>
        </is>
      </c>
    </row>
    <row r="2">
      <c r="A2" s="2" t="inlineStr">
        <is>
          <t>Q1</t>
        </is>
      </c>
      <c r="B2" s="2" t="inlineStr">
        <is>
          <t>用 VLOOKUP，根据工号 E002 查出姓名（在员工表查找）</t>
        </is>
      </c>
      <c r="C2" s="2" t="inlineStr">
        <is>
          <t>查询函数</t>
        </is>
      </c>
      <c r="D2" s="4" t="inlineStr"/>
    </row>
    <row r="3">
      <c r="A3" s="2" t="inlineStr">
        <is>
          <t>Q2</t>
        </is>
      </c>
      <c r="B3" s="2" t="inlineStr">
        <is>
          <t>用 XLOOKUP，根据工号 E005 查出部门（365/2021 可用；旧版用 VLOOKUP）</t>
        </is>
      </c>
      <c r="C3" s="2" t="inlineStr">
        <is>
          <t>查询函数</t>
        </is>
      </c>
      <c r="D3" s="4" t="inlineStr"/>
    </row>
    <row r="4">
      <c r="A4" s="2" t="inlineStr">
        <is>
          <t>Q3</t>
        </is>
      </c>
      <c r="B4" s="2" t="inlineStr">
        <is>
          <t>用 INDEX+MATCH，根据姓名「赵强」查出职位</t>
        </is>
      </c>
      <c r="C4" s="2" t="inlineStr">
        <is>
          <t>查询函数</t>
        </is>
      </c>
      <c r="D4" s="4" t="inlineStr"/>
    </row>
    <row r="5">
      <c r="A5" s="2" t="inlineStr">
        <is>
          <t>Q4</t>
        </is>
      </c>
      <c r="B5" s="2" t="inlineStr">
        <is>
          <t>用 SUMIFS，统计销售部所有员工的总销售额（销售表+员工表）</t>
        </is>
      </c>
      <c r="C5" s="2" t="inlineStr">
        <is>
          <t>条件统计</t>
        </is>
      </c>
      <c r="D5" s="4" t="inlineStr"/>
    </row>
    <row r="6">
      <c r="A6" s="2" t="inlineStr">
        <is>
          <t>Q5</t>
        </is>
      </c>
      <c r="B6" s="2" t="inlineStr">
        <is>
          <t>用 COUNTIFS，统计 2026 年 4 月华东区域的订单数</t>
        </is>
      </c>
      <c r="C6" s="2" t="inlineStr">
        <is>
          <t>条件统计</t>
        </is>
      </c>
      <c r="D6" s="4" t="inlineStr"/>
    </row>
    <row r="7">
      <c r="A7" s="2" t="inlineStr">
        <is>
          <t>Q6</t>
        </is>
      </c>
      <c r="B7" s="2" t="inlineStr">
        <is>
          <t>用 AVERAGEIF，计算「电脑」类别的平均金额</t>
        </is>
      </c>
      <c r="C7" s="2" t="inlineStr">
        <is>
          <t>条件统计</t>
        </is>
      </c>
      <c r="D7" s="4" t="inlineStr"/>
    </row>
    <row r="8">
      <c r="A8" s="2" t="inlineStr">
        <is>
          <t>Q7</t>
        </is>
      </c>
      <c r="B8" s="2" t="inlineStr">
        <is>
          <t>用 IF，给销售表每行标注：金额≥10000 为「大单」，否则「普通」</t>
        </is>
      </c>
      <c r="C8" s="2" t="inlineStr">
        <is>
          <t>逻辑判断</t>
        </is>
      </c>
      <c r="D8" s="4" t="inlineStr"/>
    </row>
    <row r="9">
      <c r="A9" s="2" t="inlineStr">
        <is>
          <t>Q8</t>
        </is>
      </c>
      <c r="B9" s="2" t="inlineStr">
        <is>
          <t>用 IFERROR+VLOOKUP：查工号 E009 的姓名，查不到返回「无此员工」</t>
        </is>
      </c>
      <c r="C9" s="2" t="inlineStr">
        <is>
          <t>容错处理</t>
        </is>
      </c>
      <c r="D9" s="4" t="inlineStr"/>
    </row>
    <row r="10">
      <c r="A10" s="2" t="inlineStr">
        <is>
          <t>Q9</t>
        </is>
      </c>
      <c r="B10" s="2" t="inlineStr">
        <is>
          <t>用 TEXT，把入职日期转成「2020年03月」这样的格式</t>
        </is>
      </c>
      <c r="C10" s="2" t="inlineStr">
        <is>
          <t>文本日期</t>
        </is>
      </c>
      <c r="D10" s="4" t="inlineStr"/>
    </row>
    <row r="11">
      <c r="A11" s="2" t="inlineStr">
        <is>
          <t>Q10</t>
        </is>
      </c>
      <c r="B11" s="2" t="inlineStr">
        <is>
          <t>用 DATEDIF 计算每位员工的工龄（整年数），今天用 TODAY()</t>
        </is>
      </c>
      <c r="C11" s="2" t="inlineStr">
        <is>
          <t>日期计算</t>
        </is>
      </c>
      <c r="D11" s="4" t="inlineStr"/>
    </row>
    <row r="12">
      <c r="A12" s="2" t="inlineStr">
        <is>
          <t>Q11</t>
        </is>
      </c>
      <c r="B12" s="2" t="inlineStr">
        <is>
          <t>用 RANK，给销售表按金额从大到小排名</t>
        </is>
      </c>
      <c r="C12" s="2" t="inlineStr">
        <is>
          <t>排名</t>
        </is>
      </c>
      <c r="D12" s="4" t="inlineStr"/>
    </row>
    <row r="13">
      <c r="A13" s="2" t="inlineStr">
        <is>
          <t>Q12</t>
        </is>
      </c>
      <c r="B13" s="2" t="inlineStr">
        <is>
          <t>用 SUMPRODUCT 或 SUMIFS 多条件：统计李明在华东的销售额</t>
        </is>
      </c>
      <c r="C13" s="2" t="inlineStr">
        <is>
          <t>多条件</t>
        </is>
      </c>
      <c r="D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</cols>
  <sheetData>
    <row r="1">
      <c r="A1" s="1" t="inlineStr">
        <is>
          <t>题号</t>
        </is>
      </c>
      <c r="B1" s="3" t="inlineStr">
        <is>
          <t>参考公式</t>
        </is>
      </c>
      <c r="C1" s="1" t="inlineStr">
        <is>
          <t>要点</t>
        </is>
      </c>
    </row>
    <row r="2">
      <c r="A2" s="2" t="inlineStr">
        <is>
          <t>Q1</t>
        </is>
      </c>
      <c r="B2" s="4">
        <f>VLOOKUP("E002",员工表!A:B,2,0)</f>
        <v/>
      </c>
      <c r="C2" s="2" t="inlineStr">
        <is>
          <t>精确匹配用 0/False</t>
        </is>
      </c>
    </row>
    <row r="3">
      <c r="A3" s="2" t="inlineStr">
        <is>
          <t>Q2</t>
        </is>
      </c>
      <c r="B3" s="4">
        <f>XLOOKUP("E005",员工表!A:A,员工表!C:C)</f>
        <v/>
      </c>
      <c r="C3" s="2" t="inlineStr">
        <is>
          <t>旧版替代：=VLOOKUP("E005",员工表!A:C,3,0)</t>
        </is>
      </c>
    </row>
    <row r="4">
      <c r="A4" s="2" t="inlineStr">
        <is>
          <t>Q3</t>
        </is>
      </c>
      <c r="B4" s="4">
        <f>INDEX(员工表!D:D,MATCH("赵强",员工表!B:B,0))</f>
        <v/>
      </c>
      <c r="C4" s="2" t="inlineStr">
        <is>
          <t>MATCH 精确匹配找行号</t>
        </is>
      </c>
    </row>
    <row r="5">
      <c r="A5" s="2" t="inlineStr">
        <is>
          <t>Q4</t>
        </is>
      </c>
      <c r="B5" s="4">
        <f>SUMIFS(销售表!F:F,员工表!C:C,...) 需先 VLOOKUP 补部门列</f>
        <v/>
      </c>
      <c r="C5" s="2" t="inlineStr">
        <is>
          <t>建议先在销售表加辅助列 =VLOOKUP(工号,员工表!A:C,3,0)</t>
        </is>
      </c>
    </row>
    <row r="6">
      <c r="A6" s="2" t="inlineStr">
        <is>
          <t>Q5</t>
        </is>
      </c>
      <c r="B6" s="4">
        <f>COUNTIFS(销售表!C:C,"&gt;=2026-4-1",销售表!C:C,"&lt;2026-5-1",销售表!D:D,"华东")</f>
        <v/>
      </c>
      <c r="C6" s="2" t="inlineStr">
        <is>
          <t>日期区间用一对条件</t>
        </is>
      </c>
    </row>
    <row r="7">
      <c r="A7" s="2" t="inlineStr">
        <is>
          <t>Q6</t>
        </is>
      </c>
      <c r="B7" s="4">
        <f>AVERAGEIF(销售表!E:E,"电脑",销售表!F:F)</f>
        <v/>
      </c>
      <c r="C7" s="2" t="inlineStr">
        <is>
          <t>条件区域与求平均区域可不同列</t>
        </is>
      </c>
    </row>
    <row r="8">
      <c r="A8" s="2" t="inlineStr">
        <is>
          <t>Q7</t>
        </is>
      </c>
      <c r="B8" s="4">
        <f>IF(F2&gt;=10000,"大单","普通")</f>
        <v/>
      </c>
      <c r="C8" s="2" t="inlineStr">
        <is>
          <t>下拉填充整列</t>
        </is>
      </c>
    </row>
    <row r="9">
      <c r="A9" s="2" t="inlineStr">
        <is>
          <t>Q8</t>
        </is>
      </c>
      <c r="B9" s="4">
        <f>IFERROR(VLOOKUP("E009",员工表!A:B,2,0),"无此员工")</f>
        <v/>
      </c>
      <c r="C9" s="2" t="inlineStr">
        <is>
          <t>先算后兜底</t>
        </is>
      </c>
    </row>
    <row r="10">
      <c r="A10" s="2" t="inlineStr">
        <is>
          <t>Q9</t>
        </is>
      </c>
      <c r="B10" s="4">
        <f>TEXT(E2,"yyyy年mm月")</f>
        <v/>
      </c>
      <c r="C10" s="2" t="inlineStr">
        <is>
          <t>TEXT 第二参数是格式代码</t>
        </is>
      </c>
    </row>
    <row r="11">
      <c r="A11" s="2" t="inlineStr">
        <is>
          <t>Q10</t>
        </is>
      </c>
      <c r="B11" s="4">
        <f>DATEDIF(E2,TODAY(),"Y")</f>
        <v/>
      </c>
      <c r="C11" s="2" t="inlineStr">
        <is>
          <t>"Y"=整年，"M"=整月</t>
        </is>
      </c>
    </row>
    <row r="12">
      <c r="A12" s="2" t="inlineStr">
        <is>
          <t>Q11</t>
        </is>
      </c>
      <c r="B12" s="4">
        <f>RANK(F2,销售表!F:F,0)</f>
        <v/>
      </c>
      <c r="C12" s="2" t="inlineStr">
        <is>
          <t>0=降序；并列会跳号</t>
        </is>
      </c>
    </row>
    <row r="13">
      <c r="A13" s="2" t="inlineStr">
        <is>
          <t>Q12</t>
        </is>
      </c>
      <c r="B13" s="4">
        <f>SUMIFS(销售表!F:F,销售表!B:B,"E001",销售表!D:D,"华东")</f>
        <v/>
      </c>
      <c r="C13" s="2" t="inlineStr">
        <is>
          <t>注意李明工号是 E001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函数练习题 — 使用方法</t>
        </is>
      </c>
    </row>
    <row r="2">
      <c r="A2" s="6" t="inlineStr">
        <is>
          <t>1. 先在「练习题」表的 D 列写下你的公式，试着跑通。</t>
        </is>
      </c>
    </row>
    <row r="3">
      <c r="A3" s="6" t="inlineStr">
        <is>
          <t>2. 卡住了再看「参考答案」表，对照思路不是照抄。</t>
        </is>
      </c>
    </row>
    <row r="4">
      <c r="A4" s="6" t="inlineStr">
        <is>
          <t>3. Q4 是综合题：先用 VLOOKUP 在销售表补一列部门，再 SUMIFS。</t>
        </is>
      </c>
    </row>
    <row r="5">
      <c r="A5" s="6" t="inlineStr">
        <is>
          <t>4. Q12 注意：题目说的是人名「李明」，先查出工号 E001 再统计。</t>
        </is>
      </c>
    </row>
    <row r="6">
      <c r="A6" s="6" t="inlineStr">
        <is>
          <t>5. 建议顺序：Q1→Q3 查询三件套，Q4→Q6 条件统计，Q7→Q12 进阶。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2026-10-07T02:18:30+00:00Z</dcterms:created>
  <dcterms:modified xmlns:dcterms="http://purl.org/dc/terms/" xmlns:xsi="http://www.w3.org/2001/XMLSchema-instance" xsi:type="dcterms:W3CDTF">2026-10-07T02:18:30+00:00Z</dcterms:modified>
</cp:coreProperties>
</file>